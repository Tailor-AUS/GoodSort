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When To Collect" sheetId="2" state="visible" r:id="rId2"/>
    <sheet xmlns:r="http://schemas.openxmlformats.org/officeDocument/2006/relationships" name="Wait vs Colle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$#,##0.00;($#,##0.00);-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3" fontId="0" fillId="0" borderId="1" pivotButton="0" quotePrefix="0" xfId="0"/>
    <xf numFmtId="3" fontId="2" fillId="0" borderId="1" pivotButton="0" quotePrefix="0" xfId="0"/>
    <xf numFmtId="164" fontId="3" fillId="0" borderId="1" pivotButton="0" quotePrefix="0" xfId="0"/>
    <xf numFmtId="10" fontId="3" fillId="0" borderId="1" pivotButton="0" quotePrefix="0" xfId="0"/>
    <xf numFmtId="3" fontId="4" fillId="3" borderId="1" pivotButton="0" quotePrefix="0" xfId="0"/>
    <xf numFmtId="3" fontId="0" fillId="3" borderId="1" pivotButton="0" quotePrefix="0" xfId="0"/>
    <xf numFmtId="165" fontId="3" fillId="0" borderId="1" pivotButton="0" quotePrefix="0" xfId="0"/>
    <xf numFmtId="3" fontId="3" fillId="0" borderId="1" pivotButton="0" quotePrefix="0" xfId="0"/>
    <xf numFmtId="165" fontId="2" fillId="0" borderId="1" pivotButton="0" quotePrefix="0" xfId="0"/>
    <xf numFmtId="3" fontId="0" fillId="4" borderId="1" pivotButton="0" quotePrefix="0" xfId="0"/>
    <xf numFmtId="165" fontId="2" fillId="4" borderId="1" pivotButton="0" quotePrefix="0" xfId="0"/>
    <xf numFmtId="0" fontId="0" fillId="4" borderId="0" pivotButton="0" quotePrefix="0" xfId="0"/>
    <xf numFmtId="3" fontId="4" fillId="4" borderId="1" pivotButton="0" quotePrefix="0" xfId="0"/>
    <xf numFmtId="165" fontId="0" fillId="0" borderId="1" pivotButton="0" quotePrefix="0" xfId="0"/>
    <xf numFmtId="166" fontId="0" fillId="0" borderId="1" pivotButton="0" quotePrefix="0" xfId="0"/>
    <xf numFmtId="3" fontId="4" fillId="0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5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Source</t>
        </is>
      </c>
    </row>
    <row r="2">
      <c r="A2" s="2" t="inlineStr">
        <is>
          <t>COEX REVENUE (as registered CRP)</t>
        </is>
      </c>
      <c r="B2" s="3" t="n"/>
      <c r="C2" s="2" t="n"/>
    </row>
    <row r="3">
      <c r="A3" s="2" t="inlineStr">
        <is>
          <t>CDS refund per container</t>
        </is>
      </c>
      <c r="B3" s="4" t="n">
        <v>0.1</v>
      </c>
      <c r="C3" s="2" t="inlineStr">
        <is>
          <t>Passed to sorter — net $0 to platform</t>
        </is>
      </c>
    </row>
    <row r="4">
      <c r="A4" s="2" t="inlineStr">
        <is>
          <t>Handling fee per container (depot rate)</t>
        </is>
      </c>
      <c r="B4" s="5" t="n">
        <v>0.07679999999999999</v>
      </c>
      <c r="C4" s="2" t="inlineStr">
        <is>
          <t>COEX SEQ 2025 — YOU KEEP THIS</t>
        </is>
      </c>
    </row>
    <row r="6">
      <c r="A6" s="6" t="inlineStr">
        <is>
          <t>SCRAP MATERIAL VALUE</t>
        </is>
      </c>
      <c r="B6" s="7" t="inlineStr"/>
      <c r="C6" s="7" t="inlineStr"/>
    </row>
    <row r="7">
      <c r="A7" s="2" t="inlineStr">
        <is>
          <t>Aluminium scrap $/kg</t>
        </is>
      </c>
      <c r="B7" s="8" t="n">
        <v>1.2</v>
      </c>
      <c r="C7" s="2" t="inlineStr">
        <is>
          <t>BNE Copper Recycling April 2026</t>
        </is>
      </c>
    </row>
    <row r="8">
      <c r="A8" s="2" t="inlineStr">
        <is>
          <t>PET scrap $/kg</t>
        </is>
      </c>
      <c r="B8" s="4" t="n">
        <v>0.6</v>
      </c>
      <c r="C8" s="2" t="inlineStr">
        <is>
          <t>Domestic recycler rate</t>
        </is>
      </c>
    </row>
    <row r="9">
      <c r="A9" s="2" t="inlineStr">
        <is>
          <t>Glass scrap $/kg</t>
        </is>
      </c>
      <c r="B9" s="5" t="n">
        <v>0.08</v>
      </c>
      <c r="C9" s="2" t="inlineStr">
        <is>
          <t>Low value — heavy</t>
        </is>
      </c>
    </row>
    <row r="10">
      <c r="A10" s="2" t="inlineStr">
        <is>
          <t>Aluminium can weight (g)</t>
        </is>
      </c>
      <c r="B10" s="9" t="n">
        <v>14</v>
      </c>
      <c r="C10" s="2" t="inlineStr">
        <is>
          <t>Standard 375ml</t>
        </is>
      </c>
    </row>
    <row r="11">
      <c r="A11" s="2" t="inlineStr">
        <is>
          <t>PET bottle weight (g)</t>
        </is>
      </c>
      <c r="B11" s="9" t="n">
        <v>25</v>
      </c>
      <c r="C11" s="2" t="inlineStr">
        <is>
          <t>Standard 600ml</t>
        </is>
      </c>
    </row>
    <row r="12">
      <c r="A12" s="2" t="inlineStr">
        <is>
          <t>Glass bottle weight (g)</t>
        </is>
      </c>
      <c r="B12" s="9" t="n">
        <v>200</v>
      </c>
      <c r="C12" s="2" t="inlineStr">
        <is>
          <t>Standard stubby</t>
        </is>
      </c>
    </row>
    <row r="13">
      <c r="A13" s="2" t="inlineStr">
        <is>
          <t>Scrap value per aluminium can</t>
        </is>
      </c>
      <c r="B13" s="10">
        <f>B9*B6/1000</f>
        <v/>
      </c>
      <c r="C13" s="2" t="inlineStr">
        <is>
          <t>14g × $1.20/kg</t>
        </is>
      </c>
    </row>
    <row r="14">
      <c r="A14" s="2" t="inlineStr">
        <is>
          <t>Scrap value per PET bottle</t>
        </is>
      </c>
      <c r="B14" s="10">
        <f>B10*B7/1000</f>
        <v/>
      </c>
      <c r="C14" s="2" t="inlineStr">
        <is>
          <t>25g × $0.60/kg</t>
        </is>
      </c>
    </row>
    <row r="15">
      <c r="A15" s="2" t="inlineStr">
        <is>
          <t>Scrap value per glass bottle</t>
        </is>
      </c>
      <c r="B15" s="10">
        <f>B11*B8/1000</f>
        <v/>
      </c>
      <c r="C15" s="2" t="inlineStr">
        <is>
          <t>200g × $0.08/kg</t>
        </is>
      </c>
    </row>
    <row r="17">
      <c r="A17" s="6" t="inlineStr">
        <is>
          <t>BIN COMPOSITION ASSUMPTIONS</t>
        </is>
      </c>
      <c r="B17" s="7" t="inlineStr"/>
      <c r="C17" s="7" t="inlineStr"/>
    </row>
    <row r="18">
      <c r="A18" s="2" t="inlineStr">
        <is>
          <t>% Aluminium in residential bin</t>
        </is>
      </c>
      <c r="B18" s="4" t="n">
        <v>0.55</v>
      </c>
      <c r="C18" s="2" t="inlineStr">
        <is>
          <t>Cans dominate in houses</t>
        </is>
      </c>
    </row>
    <row r="19">
      <c r="A19" s="2" t="inlineStr">
        <is>
          <t>% PET in residential bin</t>
        </is>
      </c>
      <c r="B19" s="4" t="n">
        <v>0.3</v>
      </c>
      <c r="C19" s="2" t="inlineStr">
        <is>
          <t>Water + soft drink bottles</t>
        </is>
      </c>
    </row>
    <row r="20">
      <c r="A20" s="2" t="inlineStr">
        <is>
          <t>% Glass in residential bin</t>
        </is>
      </c>
      <c r="B20" s="4" t="n">
        <v>0.12</v>
      </c>
      <c r="C20" s="2" t="inlineStr">
        <is>
          <t>Beer stubbies, wine</t>
        </is>
      </c>
    </row>
    <row r="21">
      <c r="A21" s="2" t="inlineStr">
        <is>
          <t>% Other in residential bin</t>
        </is>
      </c>
      <c r="B21" s="5" t="n">
        <v>0.03</v>
      </c>
      <c r="C21" s="2" t="inlineStr">
        <is>
          <t>Cartons, poppers</t>
        </is>
      </c>
    </row>
    <row r="22">
      <c r="A22" s="11" t="inlineStr">
        <is>
          <t>Blended scrap value per container</t>
        </is>
      </c>
      <c r="B22" s="12">
        <f>B17*B12+B18*B13+B19*B14+B20*0.005</f>
        <v/>
      </c>
      <c r="C22" s="11" t="inlineStr">
        <is>
          <t>Weighted average</t>
        </is>
      </c>
    </row>
    <row r="23">
      <c r="A23" s="2" t="inlineStr">
        <is>
          <t>TOTAL revenue per container (kept)</t>
        </is>
      </c>
      <c r="B23" s="10">
        <f>B3+B21</f>
        <v/>
      </c>
      <c r="C23" s="2" t="inlineStr">
        <is>
          <t>Handling fee + scrap</t>
        </is>
      </c>
    </row>
    <row r="25">
      <c r="A25" s="6" t="inlineStr">
        <is>
          <t>COLLECTION COSTS</t>
        </is>
      </c>
      <c r="B25" s="7" t="inlineStr"/>
      <c r="C25" s="7" t="inlineStr"/>
    </row>
    <row r="26">
      <c r="A26" s="2" t="inlineStr">
        <is>
          <t>Fuel cost per km</t>
        </is>
      </c>
      <c r="B26" s="4" t="n">
        <v>0.21</v>
      </c>
      <c r="C26" s="2" t="inlineStr">
        <is>
          <t>ULP $2.30/L April 2026</t>
        </is>
      </c>
    </row>
    <row r="27">
      <c r="A27" s="2" t="inlineStr">
        <is>
          <t>Round trip circuit (5 houses + depot)</t>
        </is>
      </c>
      <c r="B27" s="9" t="n">
        <v>10</v>
      </c>
      <c r="C27" s="2" t="inlineStr">
        <is>
          <t>Moorooka area + Yeerongpilly</t>
        </is>
      </c>
    </row>
    <row r="28">
      <c r="A28" s="2" t="inlineStr">
        <is>
          <t>Fuel per collection run</t>
        </is>
      </c>
      <c r="B28" s="10">
        <f>B25*B26</f>
        <v/>
      </c>
      <c r="C28" s="2" t="inlineStr">
        <is>
          <t>Derived</t>
        </is>
      </c>
    </row>
    <row r="29">
      <c r="A29" s="2" t="inlineStr">
        <is>
          <t>Your time per run (minutes)</t>
        </is>
      </c>
      <c r="B29" s="9" t="n">
        <v>50</v>
      </c>
      <c r="C29" s="2" t="inlineStr">
        <is>
          <t>Drive+pickup+depot+process</t>
        </is>
      </c>
    </row>
    <row r="30">
      <c r="A30" s="2" t="inlineStr">
        <is>
          <t>Your time value per hour</t>
        </is>
      </c>
      <c r="B30" s="9" t="n">
        <v>30</v>
      </c>
      <c r="C30" s="2" t="inlineStr">
        <is>
          <t>Opportunity cost</t>
        </is>
      </c>
    </row>
    <row r="31">
      <c r="A31" s="2" t="inlineStr">
        <is>
          <t>Time cost per run</t>
        </is>
      </c>
      <c r="B31" s="10">
        <f>B28/60*B29</f>
        <v/>
      </c>
      <c r="C31" s="2" t="inlineStr">
        <is>
          <t>Derived</t>
        </is>
      </c>
    </row>
    <row r="32">
      <c r="A32" s="2" t="inlineStr">
        <is>
          <t>TOTAL cost per collection run</t>
        </is>
      </c>
      <c r="B32" s="10">
        <f>B27+B30</f>
        <v/>
      </c>
      <c r="C32" s="2" t="inlineStr">
        <is>
          <t>Fuel + time</t>
        </is>
      </c>
    </row>
    <row r="33">
      <c r="A33" s="13" t="n"/>
      <c r="B33" s="13" t="n"/>
      <c r="C33" s="13" t="n"/>
    </row>
    <row r="34">
      <c r="A34" s="14" t="inlineStr">
        <is>
          <t>BREAK EVEN PER RUN</t>
        </is>
      </c>
      <c r="B34" s="11" t="inlineStr"/>
      <c r="C34" s="11" t="inlineStr"/>
    </row>
    <row r="35">
      <c r="A35" s="11" t="inlineStr">
        <is>
          <t>Containers needed (fuel only)</t>
        </is>
      </c>
      <c r="B35" s="12">
        <f>CEILING(B27/B22,1)</f>
        <v/>
      </c>
      <c r="C35" s="11" t="inlineStr">
        <is>
          <t>Just covering petrol</t>
        </is>
      </c>
    </row>
    <row r="36">
      <c r="A36" s="2" t="inlineStr">
        <is>
          <t>Containers needed (fuel + time)</t>
        </is>
      </c>
      <c r="B36" s="10">
        <f>CEILING(B31/B22,1)</f>
        <v/>
      </c>
      <c r="C36" s="2" t="inlineStr">
        <is>
          <t>Covering your time too</t>
        </is>
      </c>
    </row>
    <row r="37">
      <c r="A37" s="2" t="inlineStr">
        <is>
          <t>Containers per bin needed (5 bins)</t>
        </is>
      </c>
      <c r="B37" s="10">
        <f>CEILING(B34/5,1)</f>
        <v/>
      </c>
      <c r="C37" s="2" t="inlineStr">
        <is>
          <t>Each bin must have this many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Scenario</t>
        </is>
      </c>
      <c r="B1" s="1" t="inlineStr">
        <is>
          <t>Bin 1</t>
        </is>
      </c>
      <c r="C1" s="1" t="inlineStr">
        <is>
          <t>Bin 2</t>
        </is>
      </c>
      <c r="D1" s="1" t="inlineStr">
        <is>
          <t>Bin 3</t>
        </is>
      </c>
      <c r="E1" s="1" t="inlineStr">
        <is>
          <t>Bin 4</t>
        </is>
      </c>
      <c r="F1" s="1" t="inlineStr">
        <is>
          <t>Bin 5</t>
        </is>
      </c>
      <c r="G1" s="1" t="inlineStr">
        <is>
          <t>Total Cans</t>
        </is>
      </c>
      <c r="H1" s="1" t="inlineStr">
        <is>
          <t>Revenue (kept)</t>
        </is>
      </c>
      <c r="I1" s="1" t="inlineStr">
        <is>
          <t>Cost (run)</t>
        </is>
      </c>
      <c r="J1" s="1" t="inlineStr">
        <is>
          <t>Profit/Loss</t>
        </is>
      </c>
    </row>
    <row r="2">
      <c r="A2" s="3" t="inlineStr">
        <is>
          <t>Nearly empty (10 each)</t>
        </is>
      </c>
      <c r="B2" s="9" t="n">
        <v>10</v>
      </c>
      <c r="C2" s="9" t="n">
        <v>10</v>
      </c>
      <c r="D2" s="9" t="n">
        <v>10</v>
      </c>
      <c r="E2" s="9" t="n">
        <v>10</v>
      </c>
      <c r="F2" s="9" t="n">
        <v>10</v>
      </c>
      <c r="G2" s="2">
        <f>SUM(B2:F2)</f>
        <v/>
      </c>
      <c r="H2" s="15">
        <f>G2*Assumptions!B22</f>
        <v/>
      </c>
      <c r="I2" s="15">
        <f>Assumptions!B31</f>
        <v/>
      </c>
      <c r="J2" s="16">
        <f>H2-I2</f>
        <v/>
      </c>
    </row>
    <row r="3">
      <c r="A3" s="3" t="inlineStr">
        <is>
          <t>Barely started (20 each)</t>
        </is>
      </c>
      <c r="B3" s="9" t="n">
        <v>20</v>
      </c>
      <c r="C3" s="9" t="n">
        <v>20</v>
      </c>
      <c r="D3" s="9" t="n">
        <v>20</v>
      </c>
      <c r="E3" s="9" t="n">
        <v>20</v>
      </c>
      <c r="F3" s="9" t="n">
        <v>20</v>
      </c>
      <c r="G3" s="2">
        <f>SUM(B3:F3)</f>
        <v/>
      </c>
      <c r="H3" s="15">
        <f>G3*Assumptions!B22</f>
        <v/>
      </c>
      <c r="I3" s="15">
        <f>Assumptions!B31</f>
        <v/>
      </c>
      <c r="J3" s="16">
        <f>H3-I3</f>
        <v/>
      </c>
    </row>
    <row r="4">
      <c r="A4" s="3" t="inlineStr">
        <is>
          <t>Building up (40 each)</t>
        </is>
      </c>
      <c r="B4" s="9" t="n">
        <v>40</v>
      </c>
      <c r="C4" s="9" t="n">
        <v>40</v>
      </c>
      <c r="D4" s="9" t="n">
        <v>40</v>
      </c>
      <c r="E4" s="9" t="n">
        <v>40</v>
      </c>
      <c r="F4" s="9" t="n">
        <v>40</v>
      </c>
      <c r="G4" s="2">
        <f>SUM(B4:F4)</f>
        <v/>
      </c>
      <c r="H4" s="15">
        <f>G4*Assumptions!B22</f>
        <v/>
      </c>
      <c r="I4" s="15">
        <f>Assumptions!B31</f>
        <v/>
      </c>
      <c r="J4" s="16">
        <f>H4-I4</f>
        <v/>
      </c>
    </row>
    <row r="5">
      <c r="A5" s="3" t="inlineStr">
        <is>
          <t>Break even - fuel only (2 each)</t>
        </is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2">
        <f>SUM(B5:F5)</f>
        <v/>
      </c>
      <c r="H5" s="15">
        <f>G5*Assumptions!B22</f>
        <v/>
      </c>
      <c r="I5" s="15">
        <f>Assumptions!B31</f>
        <v/>
      </c>
      <c r="J5" s="16">
        <f>H5-I5</f>
        <v/>
      </c>
    </row>
    <row r="6">
      <c r="A6" s="17" t="inlineStr">
        <is>
          <t>BREAK EVEN - fuel+time</t>
        </is>
      </c>
      <c r="B6" s="9" t="n">
        <v>61</v>
      </c>
      <c r="C6" s="9" t="n">
        <v>61</v>
      </c>
      <c r="D6" s="9" t="n">
        <v>61</v>
      </c>
      <c r="E6" s="9" t="n">
        <v>61</v>
      </c>
      <c r="F6" s="9" t="n">
        <v>61</v>
      </c>
      <c r="G6" s="2">
        <f>SUM(B6:F6)</f>
        <v/>
      </c>
      <c r="H6" s="15">
        <f>G6*Assumptions!B22</f>
        <v/>
      </c>
      <c r="I6" s="15">
        <f>Assumptions!B31</f>
        <v/>
      </c>
      <c r="J6" s="16">
        <f>H6-I6</f>
        <v/>
      </c>
    </row>
    <row r="7">
      <c r="A7" s="3" t="inlineStr">
        <is>
          <t>One bin hot, rest cold</t>
        </is>
      </c>
      <c r="B7" s="9" t="n">
        <v>200</v>
      </c>
      <c r="C7" s="9" t="n">
        <v>20</v>
      </c>
      <c r="D7" s="9" t="n">
        <v>20</v>
      </c>
      <c r="E7" s="9" t="n">
        <v>10</v>
      </c>
      <c r="F7" s="9" t="n">
        <v>10</v>
      </c>
      <c r="G7" s="2">
        <f>SUM(B7:F7)</f>
        <v/>
      </c>
      <c r="H7" s="15">
        <f>G7*Assumptions!B22</f>
        <v/>
      </c>
      <c r="I7" s="15">
        <f>Assumptions!B31</f>
        <v/>
      </c>
      <c r="J7" s="16">
        <f>H7-I7</f>
        <v/>
      </c>
    </row>
    <row r="8">
      <c r="A8" s="3" t="inlineStr">
        <is>
          <t>Two bins hot</t>
        </is>
      </c>
      <c r="B8" s="9" t="n">
        <v>150</v>
      </c>
      <c r="C8" s="9" t="n">
        <v>120</v>
      </c>
      <c r="D8" s="9" t="n">
        <v>30</v>
      </c>
      <c r="E8" s="9" t="n">
        <v>20</v>
      </c>
      <c r="F8" s="9" t="n">
        <v>10</v>
      </c>
      <c r="G8" s="2">
        <f>SUM(B8:F8)</f>
        <v/>
      </c>
      <c r="H8" s="15">
        <f>G8*Assumptions!B22</f>
        <v/>
      </c>
      <c r="I8" s="15">
        <f>Assumptions!B31</f>
        <v/>
      </c>
      <c r="J8" s="16">
        <f>H8-I8</f>
        <v/>
      </c>
    </row>
    <row r="9">
      <c r="A9" s="3" t="inlineStr">
        <is>
          <t>All bins moderate</t>
        </is>
      </c>
      <c r="B9" s="9" t="n">
        <v>80</v>
      </c>
      <c r="C9" s="9" t="n">
        <v>80</v>
      </c>
      <c r="D9" s="9" t="n">
        <v>80</v>
      </c>
      <c r="E9" s="9" t="n">
        <v>80</v>
      </c>
      <c r="F9" s="9" t="n">
        <v>80</v>
      </c>
      <c r="G9" s="2">
        <f>SUM(B9:F9)</f>
        <v/>
      </c>
      <c r="H9" s="15">
        <f>G9*Assumptions!B22</f>
        <v/>
      </c>
      <c r="I9" s="15">
        <f>Assumptions!B31</f>
        <v/>
      </c>
      <c r="J9" s="16">
        <f>H9-I9</f>
        <v/>
      </c>
    </row>
    <row r="10">
      <c r="A10" s="3" t="inlineStr">
        <is>
          <t>All bins busy</t>
        </is>
      </c>
      <c r="B10" s="9" t="n">
        <v>150</v>
      </c>
      <c r="C10" s="9" t="n">
        <v>150</v>
      </c>
      <c r="D10" s="9" t="n">
        <v>150</v>
      </c>
      <c r="E10" s="9" t="n">
        <v>150</v>
      </c>
      <c r="F10" s="9" t="n">
        <v>150</v>
      </c>
      <c r="G10" s="2">
        <f>SUM(B10:F10)</f>
        <v/>
      </c>
      <c r="H10" s="15">
        <f>G10*Assumptions!B22</f>
        <v/>
      </c>
      <c r="I10" s="15">
        <f>Assumptions!B31</f>
        <v/>
      </c>
      <c r="J10" s="16">
        <f>H10-I10</f>
        <v/>
      </c>
    </row>
    <row r="11">
      <c r="A11" s="3" t="inlineStr">
        <is>
          <t>Full bags (300 each)</t>
        </is>
      </c>
      <c r="B11" s="9" t="n">
        <v>300</v>
      </c>
      <c r="C11" s="9" t="n">
        <v>300</v>
      </c>
      <c r="D11" s="9" t="n">
        <v>300</v>
      </c>
      <c r="E11" s="9" t="n">
        <v>300</v>
      </c>
      <c r="F11" s="9" t="n">
        <v>300</v>
      </c>
      <c r="G11" s="2">
        <f>SUM(B11:F11)</f>
        <v/>
      </c>
      <c r="H11" s="15">
        <f>G11*Assumptions!B22</f>
        <v/>
      </c>
      <c r="I11" s="15">
        <f>Assumptions!B31</f>
        <v/>
      </c>
      <c r="J11" s="16">
        <f>H11-I11</f>
        <v/>
      </c>
    </row>
    <row r="12">
      <c r="A12" s="3" t="inlineStr"/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2">
        <f>SUM(B12:F12)</f>
        <v/>
      </c>
      <c r="H12" s="15">
        <f>G12*Assumptions!B22</f>
        <v/>
      </c>
      <c r="I12" s="15">
        <f>Assumptions!B31</f>
        <v/>
      </c>
      <c r="J12" s="16">
        <f>H12-I12</f>
        <v/>
      </c>
    </row>
    <row r="13">
      <c r="A13" s="17" t="inlineStr">
        <is>
          <t>REALISTIC WEEK 4</t>
        </is>
      </c>
      <c r="B13" s="9" t="n">
        <v>40</v>
      </c>
      <c r="C13" s="9" t="n">
        <v>35</v>
      </c>
      <c r="D13" s="9" t="n">
        <v>25</v>
      </c>
      <c r="E13" s="9" t="n">
        <v>20</v>
      </c>
      <c r="F13" s="9" t="n">
        <v>15</v>
      </c>
      <c r="G13" s="2">
        <f>SUM(B13:F13)</f>
        <v/>
      </c>
      <c r="H13" s="15">
        <f>G13*Assumptions!B22</f>
        <v/>
      </c>
      <c r="I13" s="15">
        <f>Assumptions!B31</f>
        <v/>
      </c>
      <c r="J13" s="16">
        <f>H13-I13</f>
        <v/>
      </c>
    </row>
    <row r="14">
      <c r="A14" s="17" t="inlineStr">
        <is>
          <t>REALISTIC WEEK 8</t>
        </is>
      </c>
      <c r="B14" s="9" t="n">
        <v>70</v>
      </c>
      <c r="C14" s="9" t="n">
        <v>60</v>
      </c>
      <c r="D14" s="9" t="n">
        <v>50</v>
      </c>
      <c r="E14" s="9" t="n">
        <v>40</v>
      </c>
      <c r="F14" s="9" t="n">
        <v>30</v>
      </c>
      <c r="G14" s="2">
        <f>SUM(B14:F14)</f>
        <v/>
      </c>
      <c r="H14" s="15">
        <f>G14*Assumptions!B22</f>
        <v/>
      </c>
      <c r="I14" s="15">
        <f>Assumptions!B31</f>
        <v/>
      </c>
      <c r="J14" s="16">
        <f>H14-I14</f>
        <v/>
      </c>
    </row>
    <row r="15">
      <c r="A15" s="17" t="inlineStr">
        <is>
          <t>REALISTIC WEEK 12</t>
        </is>
      </c>
      <c r="B15" s="9" t="n">
        <v>100</v>
      </c>
      <c r="C15" s="9" t="n">
        <v>90</v>
      </c>
      <c r="D15" s="9" t="n">
        <v>80</v>
      </c>
      <c r="E15" s="9" t="n">
        <v>60</v>
      </c>
      <c r="F15" s="9" t="n">
        <v>50</v>
      </c>
      <c r="G15" s="2">
        <f>SUM(B15:F15)</f>
        <v/>
      </c>
      <c r="H15" s="15">
        <f>G15*Assumptions!B22</f>
        <v/>
      </c>
      <c r="I15" s="15">
        <f>Assumptions!B31</f>
        <v/>
      </c>
      <c r="J15" s="16">
        <f>H15-I15</f>
        <v/>
      </c>
    </row>
    <row r="16">
      <c r="A16" s="17" t="inlineStr">
        <is>
          <t>REALISTIC WEEK 24</t>
        </is>
      </c>
      <c r="B16" s="9" t="n">
        <v>150</v>
      </c>
      <c r="C16" s="9" t="n">
        <v>130</v>
      </c>
      <c r="D16" s="9" t="n">
        <v>120</v>
      </c>
      <c r="E16" s="9" t="n">
        <v>100</v>
      </c>
      <c r="F16" s="9" t="n">
        <v>80</v>
      </c>
      <c r="G16" s="2">
        <f>SUM(B16:F16)</f>
        <v/>
      </c>
      <c r="H16" s="15">
        <f>G16*Assumptions!B22</f>
        <v/>
      </c>
      <c r="I16" s="15">
        <f>Assumptions!B31</f>
        <v/>
      </c>
      <c r="J16" s="16">
        <f>H16-I16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5" customWidth="1" min="3" max="3"/>
  </cols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Insight</t>
        </is>
      </c>
    </row>
    <row r="2">
      <c r="A2" s="6" t="inlineStr">
        <is>
          <t>HOW LONG TO WAIT?</t>
        </is>
      </c>
      <c r="B2" s="7" t="inlineStr"/>
      <c r="C2" s="7" t="inlineStr"/>
    </row>
    <row r="3">
      <c r="A3" s="2" t="inlineStr">
        <is>
          <t>If bins fill at 10/week each</t>
        </is>
      </c>
      <c r="B3" s="18">
        <f>CEILING(Assumptions!B35*5/50,1)</f>
        <v/>
      </c>
      <c r="C3" s="2" t="inlineStr">
        <is>
          <t>Weeks until all bins have enough</t>
        </is>
      </c>
    </row>
    <row r="4">
      <c r="A4" s="2" t="inlineStr">
        <is>
          <t>If bins fill at 20/week each</t>
        </is>
      </c>
      <c r="B4" s="18">
        <f>CEILING(Assumptions!B35*5/100,1)</f>
        <v/>
      </c>
      <c r="C4" s="2" t="inlineStr">
        <is>
          <t>Faster adoption</t>
        </is>
      </c>
    </row>
    <row r="5">
      <c r="A5" s="2" t="inlineStr">
        <is>
          <t>If bins fill at 40/week each</t>
        </is>
      </c>
      <c r="B5" s="18">
        <f>CEILING(Assumptions!B35*5/200,1)</f>
        <v/>
      </c>
      <c r="C5" s="2" t="inlineStr">
        <is>
          <t>Good adoption</t>
        </is>
      </c>
    </row>
    <row r="7">
      <c r="A7" s="6" t="inlineStr">
        <is>
          <t>OPTIMAL STRATEGY</t>
        </is>
      </c>
      <c r="B7" s="7" t="inlineStr"/>
      <c r="C7" s="7" t="inlineStr"/>
    </row>
    <row r="8">
      <c r="A8" s="2" t="inlineStr">
        <is>
          <t>Collect when total across 5 bins hits</t>
        </is>
      </c>
      <c r="B8" s="18">
        <f>Assumptions!B34</f>
        <v/>
      </c>
      <c r="C8" s="2" t="inlineStr">
        <is>
          <t>This is your trigger number</t>
        </is>
      </c>
    </row>
    <row r="9">
      <c r="A9" s="2" t="inlineStr">
        <is>
          <t>Revenue from that run</t>
        </is>
      </c>
      <c r="B9" s="18">
        <f>B7*Assumptions!B22</f>
        <v/>
      </c>
      <c r="C9" s="2" t="inlineStr">
        <is>
          <t>What you earn</t>
        </is>
      </c>
    </row>
    <row r="10">
      <c r="A10" s="2" t="inlineStr">
        <is>
          <t>Cost of that run</t>
        </is>
      </c>
      <c r="B10" s="18">
        <f>Assumptions!B31</f>
        <v/>
      </c>
      <c r="C10" s="2" t="inlineStr">
        <is>
          <t>Fuel + your time</t>
        </is>
      </c>
    </row>
    <row r="11">
      <c r="A11" s="2" t="inlineStr">
        <is>
          <t>Profit from that run</t>
        </is>
      </c>
      <c r="B11" s="18">
        <f>B8-B9</f>
        <v/>
      </c>
      <c r="C11" s="2" t="inlineStr">
        <is>
          <t>Worth doing</t>
        </is>
      </c>
    </row>
    <row r="13">
      <c r="A13" s="6" t="inlineStr">
        <is>
          <t>COMPOSITION MATTERS</t>
        </is>
      </c>
      <c r="B13" s="7" t="inlineStr"/>
      <c r="C13" s="7" t="inlineStr"/>
    </row>
    <row r="14">
      <c r="A14" s="2" t="inlineStr">
        <is>
          <t>If 100% aluminium (best case)</t>
        </is>
      </c>
      <c r="B14" s="18">
        <f>Assumptions!B3+Assumptions!B12</f>
        <v/>
      </c>
      <c r="C14" s="2" t="inlineStr">
        <is>
          <t>Handling + full scrap value per can</t>
        </is>
      </c>
    </row>
    <row r="15">
      <c r="A15" s="2" t="inlineStr">
        <is>
          <t>If 100% glass (worst case)</t>
        </is>
      </c>
      <c r="B15" s="18">
        <f>Assumptions!B3+Assumptions!B14</f>
        <v/>
      </c>
      <c r="C15" s="2" t="inlineStr">
        <is>
          <t>Heavy, low scrap but same handling fee</t>
        </is>
      </c>
    </row>
    <row r="16">
      <c r="A16" s="2" t="inlineStr">
        <is>
          <t>The handling fee is the same regardless</t>
        </is>
      </c>
      <c r="B16" s="18">
        <f>Assumptions!B3</f>
        <v/>
      </c>
      <c r="C16" s="2" t="inlineStr">
        <is>
          <t>7.68c whether its a can or a bottle</t>
        </is>
      </c>
    </row>
    <row r="17">
      <c r="A17" s="2" t="inlineStr">
        <is>
          <t>So material mix mainly affects WEIGHT not revenue</t>
        </is>
      </c>
      <c r="B17" s="18" t="inlineStr"/>
      <c r="C17" s="2" t="inlineStr">
        <is>
          <t>More glass = heavier bags, same money</t>
        </is>
      </c>
    </row>
    <row r="19">
      <c r="A19" s="6" t="inlineStr">
        <is>
          <t>REAL TALK</t>
        </is>
      </c>
      <c r="B19" s="7" t="inlineStr"/>
      <c r="C19" s="7" t="inlineStr"/>
    </row>
    <row r="20">
      <c r="A20" s="2" t="inlineStr">
        <is>
          <t>At $0.092/container you need volume</t>
        </is>
      </c>
      <c r="B20" s="18" t="inlineStr"/>
      <c r="C20" s="2" t="inlineStr">
        <is>
          <t>This is a volume game</t>
        </is>
      </c>
    </row>
    <row r="21">
      <c r="A21" s="2" t="inlineStr">
        <is>
          <t>5 bins × 60/week = 300/week = $27.60/week</t>
        </is>
      </c>
      <c r="B21" s="18">
        <f>5*60*Assumptions!B22</f>
        <v/>
      </c>
      <c r="C21" s="2" t="inlineStr">
        <is>
          <t>After costs: ~$0/week (just covers time)</t>
        </is>
      </c>
    </row>
    <row r="22">
      <c r="A22" s="2" t="inlineStr">
        <is>
          <t>5 bins × 100/week = 500/week = $46/week</t>
        </is>
      </c>
      <c r="B22" s="18">
        <f>5*100*Assumptions!B22</f>
        <v/>
      </c>
      <c r="C22" s="2" t="inlineStr">
        <is>
          <t>After costs: ~$18/week profit</t>
        </is>
      </c>
    </row>
    <row r="23">
      <c r="A23" s="2" t="inlineStr">
        <is>
          <t>5 bins × 150/week = 750/week = $69/week</t>
        </is>
      </c>
      <c r="B23" s="18">
        <f>5*150*Assumptions!B22</f>
        <v/>
      </c>
      <c r="C23" s="2" t="inlineStr">
        <is>
          <t>After costs: ~$41/week profit</t>
        </is>
      </c>
    </row>
    <row r="24">
      <c r="A24" s="2" t="inlineStr">
        <is>
          <t>To make $500/week you need</t>
        </is>
      </c>
      <c r="B24" s="18">
        <f>CEILING(500/Assumptions!B22+Assumptions!B34,1)</f>
        <v/>
      </c>
      <c r="C24" s="2" t="inlineStr">
        <is>
          <t>Containers per week</t>
        </is>
      </c>
    </row>
    <row r="25">
      <c r="A25" s="2" t="inlineStr">
        <is>
          <t>Thats how many bins @ 100/wk</t>
        </is>
      </c>
      <c r="B25" s="18">
        <f>CEILING(B24/100,1)</f>
        <v/>
      </c>
      <c r="C25" s="2" t="inlineStr">
        <is>
          <t>This is the scale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2026-04-08T00:50:10Z</dcterms:created>
  <dcterms:modified xmlns:dcterms="http://purl.org/dc/terms/" xmlns:xsi="http://www.w3.org/2001/XMLSchema-instance" xsi:type="dcterms:W3CDTF">2026-04-08T00:50:10Z</dcterms:modified>
</cp:coreProperties>
</file>