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ey Numbers" sheetId="1" state="visible" r:id="rId1"/>
    <sheet xmlns:r="http://schemas.openxmlformats.org/officeDocument/2006/relationships" name="How Many Bins" sheetId="2" state="visible" r:id="rId2"/>
    <sheet xmlns:r="http://schemas.openxmlformats.org/officeDocument/2006/relationships" name="First 6 Months" sheetId="3" state="visible" r:id="rId3"/>
    <sheet xmlns:r="http://schemas.openxmlformats.org/officeDocument/2006/relationships" name="THE ANSW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0.00"/>
    <numFmt numFmtId="165" formatCode="$0.0000"/>
    <numFmt numFmtId="166" formatCode="$#,##0.00"/>
    <numFmt numFmtId="167" formatCode="0.0%"/>
    <numFmt numFmtId="168" formatCode="$#,##0"/>
    <numFmt numFmtId="169" formatCode="$#,##0;($#,##0);-"/>
    <numFmt numFmtId="170" formatCode="($#,##0)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6A34A"/>
      </patternFill>
    </fill>
    <fill>
      <patternFill patternType="solid">
        <fgColor rgb="00F2F2F2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3" fontId="2" fillId="3" borderId="1" pivotButton="0" quotePrefix="0" xfId="0"/>
    <xf numFmtId="3" fontId="0" fillId="3" borderId="1" pivotButton="0" quotePrefix="0" xfId="0"/>
    <xf numFmtId="3" fontId="0" fillId="0" borderId="1" pivotButton="0" quotePrefix="0" xfId="0"/>
    <xf numFmtId="164" fontId="3" fillId="0" borderId="1" pivotButton="0" quotePrefix="0" xfId="0"/>
    <xf numFmtId="3" fontId="0" fillId="4" borderId="1" pivotButton="0" quotePrefix="0" xfId="0"/>
    <xf numFmtId="165" fontId="3" fillId="4" borderId="1" pivotButton="0" quotePrefix="0" xfId="0"/>
    <xf numFmtId="166" fontId="4" fillId="0" borderId="1" pivotButton="0" quotePrefix="0" xfId="0"/>
    <xf numFmtId="164" fontId="3" fillId="4" borderId="1" pivotButton="0" quotePrefix="0" xfId="0"/>
    <xf numFmtId="0" fontId="0" fillId="4" borderId="0" pivotButton="0" quotePrefix="0" xfId="0"/>
    <xf numFmtId="167" fontId="4" fillId="0" borderId="1" pivotButton="0" quotePrefix="0" xfId="0"/>
    <xf numFmtId="3" fontId="3" fillId="0" borderId="1" pivotButton="0" quotePrefix="0" xfId="0"/>
    <xf numFmtId="166" fontId="4" fillId="4" borderId="1" pivotButton="0" quotePrefix="0" xfId="0"/>
    <xf numFmtId="3" fontId="2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3" borderId="1" pivotButton="0" quotePrefix="0" xfId="0"/>
    <xf numFmtId="169" fontId="2" fillId="3" borderId="1" pivotButton="0" quotePrefix="0" xfId="0"/>
    <xf numFmtId="164" fontId="4" fillId="0" borderId="1" pivotButton="0" quotePrefix="0" xfId="0"/>
    <xf numFmtId="168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50" customWidth="1" min="3" max="3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Source / Notes</t>
        </is>
      </c>
    </row>
    <row r="2">
      <c r="A2" s="2" t="inlineStr">
        <is>
          <t>YOUR REVENUE PER CONTAINER (you are platform + runner)</t>
        </is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</row>
    <row r="3">
      <c r="A3" s="4" t="inlineStr">
        <is>
          <t>CDS refund from COEX</t>
        </is>
      </c>
      <c r="B3" s="5" t="n">
        <v>0.1</v>
      </c>
      <c r="C3" s="4" t="inlineStr">
        <is>
          <t>Claimed at depot on your Scheme ID</t>
        </is>
      </c>
    </row>
    <row r="4">
      <c r="A4" s="4" t="inlineStr">
        <is>
          <t>COEX handling fee (depot rate SEQ)</t>
        </is>
      </c>
      <c r="B4" s="5" t="n">
        <v>0.07679999999999999</v>
      </c>
      <c r="C4" s="4" t="inlineStr">
        <is>
          <t>COEX 2025 — registered CRP</t>
        </is>
      </c>
    </row>
    <row r="5">
      <c r="A5" s="6" t="inlineStr">
        <is>
          <t>Scrap material value (blended avg)</t>
        </is>
      </c>
      <c r="B5" s="7" t="n">
        <v>0.015</v>
      </c>
      <c r="C5" s="6" t="inlineStr">
        <is>
          <t>55% AL, 30% PET, 15% glass</t>
        </is>
      </c>
    </row>
    <row r="6">
      <c r="A6" s="4" t="inlineStr">
        <is>
          <t>TOTAL IN per container</t>
        </is>
      </c>
      <c r="B6" s="8">
        <f>B2+B3+B4</f>
        <v/>
      </c>
      <c r="C6" s="4" t="inlineStr">
        <is>
          <t>What COEX + scrap pays you</t>
        </is>
      </c>
    </row>
    <row r="8">
      <c r="A8" s="2" t="inlineStr">
        <is>
          <t>YOUR COSTS PER CONTAINER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6" t="inlineStr">
        <is>
          <t>Sorter credit (5c)</t>
        </is>
      </c>
      <c r="B9" s="9" t="n">
        <v>0.05</v>
      </c>
      <c r="C9" s="6" t="inlineStr">
        <is>
          <t>Sorting credit — NOT a CDS refund</t>
        </is>
      </c>
    </row>
    <row r="10">
      <c r="A10" s="4" t="inlineStr">
        <is>
          <t>TOTAL OUT per container</t>
        </is>
      </c>
      <c r="B10" s="8">
        <f>B8</f>
        <v/>
      </c>
      <c r="C10" s="4" t="inlineStr">
        <is>
          <t>Only cost is sorter credit</t>
        </is>
      </c>
    </row>
    <row r="11">
      <c r="A11" s="10" t="n"/>
      <c r="B11" s="10" t="n"/>
      <c r="C11" s="10" t="n"/>
    </row>
    <row r="12">
      <c r="A12" s="2" t="inlineStr">
        <is>
          <t>NET MARGIN PER CONTAINER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</row>
    <row r="13">
      <c r="A13" s="4" t="inlineStr">
        <is>
          <t>YOU KEEP per container</t>
        </is>
      </c>
      <c r="B13" s="8">
        <f>B5-B9</f>
        <v/>
      </c>
      <c r="C13" s="4" t="inlineStr">
        <is>
          <t>This is your real margin</t>
        </is>
      </c>
    </row>
    <row r="14">
      <c r="A14" s="4" t="inlineStr">
        <is>
          <t>Margin as %</t>
        </is>
      </c>
      <c r="B14" s="11">
        <f>B11/B5</f>
        <v/>
      </c>
      <c r="C14" s="4" t="inlineStr">
        <is>
          <t>Of total revenue</t>
        </is>
      </c>
    </row>
    <row r="16">
      <c r="A16" s="2" t="inlineStr">
        <is>
          <t>COLLECTION RUN COSTS (MOOROOKA)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</row>
    <row r="17">
      <c r="A17" s="4" t="inlineStr">
        <is>
          <t>Distance: house circuit + depot</t>
        </is>
      </c>
      <c r="B17" s="12" t="n">
        <v>5</v>
      </c>
      <c r="C17" s="4" t="inlineStr">
        <is>
          <t>km — Moorooka loop + Yeerongpilly 1.5km</t>
        </is>
      </c>
    </row>
    <row r="18">
      <c r="A18" s="4" t="inlineStr">
        <is>
          <t>Fuel cost per km</t>
        </is>
      </c>
      <c r="B18" s="5" t="n">
        <v>0.21</v>
      </c>
      <c r="C18" s="4" t="inlineStr">
        <is>
          <t>ULP $2.30/L April 2026</t>
        </is>
      </c>
    </row>
    <row r="19">
      <c r="A19" s="4" t="inlineStr">
        <is>
          <t>Fuel per run</t>
        </is>
      </c>
      <c r="B19" s="8">
        <f>B15*B16</f>
        <v/>
      </c>
      <c r="C19" s="4" t="inlineStr"/>
    </row>
    <row r="20">
      <c r="A20" s="4" t="inlineStr">
        <is>
          <t>Time per run (minutes)</t>
        </is>
      </c>
      <c r="B20" s="12" t="n">
        <v>40</v>
      </c>
      <c r="C20" s="4" t="inlineStr">
        <is>
          <t>Short circuit — you know the streets</t>
        </is>
      </c>
    </row>
    <row r="21">
      <c r="A21" s="4" t="inlineStr">
        <is>
          <t>Time cost (@ $30/hr)</t>
        </is>
      </c>
      <c r="B21" s="11">
        <f>B18/60*30</f>
        <v/>
      </c>
      <c r="C21" s="4" t="inlineStr">
        <is>
          <t>Your opportunity cost</t>
        </is>
      </c>
    </row>
    <row r="22">
      <c r="A22" s="6" t="inlineStr">
        <is>
          <t>TOTAL cost per run</t>
        </is>
      </c>
      <c r="B22" s="13">
        <f>B17+B19</f>
        <v/>
      </c>
      <c r="C22" s="6" t="inlineStr">
        <is>
          <t>Fuel + time</t>
        </is>
      </c>
    </row>
    <row r="23">
      <c r="A23" s="10" t="n"/>
      <c r="B23" s="10" t="n"/>
      <c r="C23" s="10" t="n"/>
    </row>
    <row r="24">
      <c r="A24" s="14" t="inlineStr">
        <is>
          <t>BREAK EVEN PER RUN</t>
        </is>
      </c>
      <c r="B24" s="6" t="inlineStr"/>
      <c r="C24" s="6" t="inlineStr"/>
      <c r="D24" s="3" t="inlineStr"/>
      <c r="E24" s="3" t="inlineStr"/>
      <c r="F24" s="3" t="inlineStr"/>
      <c r="G24" s="3" t="inlineStr"/>
      <c r="H24" s="3" t="inlineStr"/>
      <c r="I24" s="3" t="inlineStr"/>
    </row>
    <row r="25">
      <c r="A25" s="6" t="inlineStr">
        <is>
          <t>Containers to cover FUEL only</t>
        </is>
      </c>
      <c r="B25" s="15">
        <f>CEILING(B17/B11,1)</f>
        <v/>
      </c>
      <c r="C25" s="6" t="inlineStr">
        <is>
          <t>Minimum viable run</t>
        </is>
      </c>
    </row>
    <row r="26">
      <c r="A26" s="4" t="inlineStr">
        <is>
          <t>Containers to cover FUEL + TIME</t>
        </is>
      </c>
      <c r="B26" s="11">
        <f>CEILING(B20/B11,1)</f>
        <v/>
      </c>
      <c r="C26" s="4" t="inlineStr">
        <is>
          <t>Worth your time</t>
        </is>
      </c>
    </row>
    <row r="27">
      <c r="A27" s="4" t="inlineStr">
        <is>
          <t>Per bin (fuel only, 5 bins)</t>
        </is>
      </c>
      <c r="B27" s="11">
        <f>CEILING(B22/5,1)</f>
        <v/>
      </c>
      <c r="C27" s="4" t="inlineStr">
        <is>
          <t>Each bin needs this many</t>
        </is>
      </c>
    </row>
    <row r="28">
      <c r="A28" s="4" t="inlineStr">
        <is>
          <t>Per bin (fuel + time, 5 bins)</t>
        </is>
      </c>
      <c r="B28" s="11">
        <f>CEILING(B23/5,1)</f>
        <v/>
      </c>
      <c r="C28" s="4" t="inlineStr">
        <is>
          <t>Each bin needs this many</t>
        </is>
      </c>
    </row>
    <row r="30">
      <c r="A30" s="2" t="inlineStr">
        <is>
          <t>WHAT DOES $1000 SEED BUY?</t>
        </is>
      </c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</row>
    <row r="31">
      <c r="A31" s="4" t="inlineStr">
        <is>
          <t>Setup cost (5 bins + QR + bags)</t>
        </is>
      </c>
      <c r="B31" s="12" t="n">
        <v>70</v>
      </c>
      <c r="C31" s="4" t="inlineStr"/>
    </row>
    <row r="32">
      <c r="A32" s="4" t="inlineStr">
        <is>
          <t>Remaining capital</t>
        </is>
      </c>
      <c r="B32" s="8">
        <f>1000-B28</f>
        <v/>
      </c>
      <c r="C32" s="4" t="inlineStr"/>
    </row>
    <row r="33">
      <c r="A33" s="4" t="inlineStr">
        <is>
          <t>Collection runs this covers (fuel)</t>
        </is>
      </c>
      <c r="B33" s="11">
        <f>FLOOR(B29/B17,1)</f>
        <v/>
      </c>
      <c r="C33" s="4" t="inlineStr">
        <is>
          <t>Just fuel</t>
        </is>
      </c>
    </row>
    <row r="34">
      <c r="A34" s="4" t="inlineStr">
        <is>
          <t>Containers those runs can process</t>
        </is>
      </c>
      <c r="B34" s="8">
        <f>B30*B22*5</f>
        <v/>
      </c>
      <c r="C34" s="4" t="inlineStr">
        <is>
          <t>At break-even volume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# Bins</t>
        </is>
      </c>
      <c r="B1" s="1" t="inlineStr">
        <is>
          <t>Cans/Bin/Wk</t>
        </is>
      </c>
      <c r="C1" s="1" t="inlineStr">
        <is>
          <t>Total/Week</t>
        </is>
      </c>
      <c r="D1" s="1" t="inlineStr">
        <is>
          <t>Weekly Rev (kept)</t>
        </is>
      </c>
      <c r="E1" s="1" t="inlineStr">
        <is>
          <t>Weekly Fuel</t>
        </is>
      </c>
      <c r="F1" s="1" t="inlineStr">
        <is>
          <t>Weekly Time Cost</t>
        </is>
      </c>
      <c r="G1" s="1" t="inlineStr">
        <is>
          <t>Weekly Profit</t>
        </is>
      </c>
      <c r="H1" s="1" t="inlineStr">
        <is>
          <t>Monthly Profit</t>
        </is>
      </c>
      <c r="I1" s="1" t="inlineStr">
        <is>
          <t>Annual Profit</t>
        </is>
      </c>
    </row>
    <row r="2">
      <c r="A2" s="12" t="n">
        <v>5</v>
      </c>
      <c r="B2" s="12" t="n">
        <v>50</v>
      </c>
      <c r="C2" s="4">
        <f>A2*B2</f>
        <v/>
      </c>
      <c r="D2" s="16">
        <f>C2*'Key Numbers'!B11</f>
        <v/>
      </c>
      <c r="E2" s="16">
        <f>CEILING(A2/5,1)*'Key Numbers'!B17</f>
        <v/>
      </c>
      <c r="F2" s="16">
        <f>CEILING(A2/5,1)*'Key Numbers'!B19</f>
        <v/>
      </c>
      <c r="G2" s="17">
        <f>D2-E2-F2</f>
        <v/>
      </c>
      <c r="H2" s="17">
        <f>G2*4.33</f>
        <v/>
      </c>
      <c r="I2" s="17">
        <f>G2*52</f>
        <v/>
      </c>
    </row>
    <row r="3">
      <c r="A3" s="12" t="n">
        <v>10</v>
      </c>
      <c r="B3" s="12" t="n">
        <v>50</v>
      </c>
      <c r="C3" s="4">
        <f>A3*B3</f>
        <v/>
      </c>
      <c r="D3" s="16">
        <f>C3*'Key Numbers'!B11</f>
        <v/>
      </c>
      <c r="E3" s="16">
        <f>CEILING(A3/5,1)*'Key Numbers'!B17</f>
        <v/>
      </c>
      <c r="F3" s="16">
        <f>CEILING(A3/5,1)*'Key Numbers'!B19</f>
        <v/>
      </c>
      <c r="G3" s="17">
        <f>D3-E3-F3</f>
        <v/>
      </c>
      <c r="H3" s="17">
        <f>G3*4.33</f>
        <v/>
      </c>
      <c r="I3" s="17">
        <f>G3*52</f>
        <v/>
      </c>
    </row>
    <row r="4">
      <c r="A4" s="12" t="n">
        <v>15</v>
      </c>
      <c r="B4" s="12" t="n">
        <v>50</v>
      </c>
      <c r="C4" s="4">
        <f>A4*B4</f>
        <v/>
      </c>
      <c r="D4" s="16">
        <f>C4*'Key Numbers'!B11</f>
        <v/>
      </c>
      <c r="E4" s="16">
        <f>CEILING(A4/5,1)*'Key Numbers'!B17</f>
        <v/>
      </c>
      <c r="F4" s="16">
        <f>CEILING(A4/5,1)*'Key Numbers'!B19</f>
        <v/>
      </c>
      <c r="G4" s="17">
        <f>D4-E4-F4</f>
        <v/>
      </c>
      <c r="H4" s="17">
        <f>G4*4.33</f>
        <v/>
      </c>
      <c r="I4" s="17">
        <f>G4*52</f>
        <v/>
      </c>
    </row>
    <row r="5">
      <c r="A5" s="12" t="n">
        <v>20</v>
      </c>
      <c r="B5" s="12" t="n">
        <v>50</v>
      </c>
      <c r="C5" s="4">
        <f>A5*B5</f>
        <v/>
      </c>
      <c r="D5" s="16">
        <f>C5*'Key Numbers'!B11</f>
        <v/>
      </c>
      <c r="E5" s="16">
        <f>CEILING(A5/5,1)*'Key Numbers'!B17</f>
        <v/>
      </c>
      <c r="F5" s="16">
        <f>CEILING(A5/5,1)*'Key Numbers'!B19</f>
        <v/>
      </c>
      <c r="G5" s="17">
        <f>D5-E5-F5</f>
        <v/>
      </c>
      <c r="H5" s="17">
        <f>G5*4.33</f>
        <v/>
      </c>
      <c r="I5" s="17">
        <f>G5*52</f>
        <v/>
      </c>
    </row>
    <row r="6">
      <c r="A6" s="12" t="n">
        <v>30</v>
      </c>
      <c r="B6" s="12" t="n">
        <v>50</v>
      </c>
      <c r="C6" s="4">
        <f>A6*B6</f>
        <v/>
      </c>
      <c r="D6" s="16">
        <f>C6*'Key Numbers'!B11</f>
        <v/>
      </c>
      <c r="E6" s="16">
        <f>CEILING(A6/5,1)*'Key Numbers'!B17</f>
        <v/>
      </c>
      <c r="F6" s="16">
        <f>CEILING(A6/5,1)*'Key Numbers'!B19</f>
        <v/>
      </c>
      <c r="G6" s="17">
        <f>D6-E6-F6</f>
        <v/>
      </c>
      <c r="H6" s="17">
        <f>G6*4.33</f>
        <v/>
      </c>
      <c r="I6" s="17">
        <f>G6*52</f>
        <v/>
      </c>
    </row>
    <row r="7">
      <c r="A7" s="12" t="n">
        <v>50</v>
      </c>
      <c r="B7" s="12" t="n">
        <v>50</v>
      </c>
      <c r="C7" s="4">
        <f>A7*B7</f>
        <v/>
      </c>
      <c r="D7" s="16">
        <f>C7*'Key Numbers'!B11</f>
        <v/>
      </c>
      <c r="E7" s="16">
        <f>CEILING(A7/5,1)*'Key Numbers'!B17</f>
        <v/>
      </c>
      <c r="F7" s="16">
        <f>CEILING(A7/5,1)*'Key Numbers'!B19</f>
        <v/>
      </c>
      <c r="G7" s="17">
        <f>D7-E7-F7</f>
        <v/>
      </c>
      <c r="H7" s="17">
        <f>G7*4.33</f>
        <v/>
      </c>
      <c r="I7" s="17">
        <f>G7*52</f>
        <v/>
      </c>
    </row>
    <row r="8">
      <c r="A8" s="12" t="n">
        <v>75</v>
      </c>
      <c r="B8" s="12" t="n">
        <v>50</v>
      </c>
      <c r="C8" s="4">
        <f>A8*B8</f>
        <v/>
      </c>
      <c r="D8" s="16">
        <f>C8*'Key Numbers'!B11</f>
        <v/>
      </c>
      <c r="E8" s="16">
        <f>CEILING(A8/5,1)*'Key Numbers'!B17</f>
        <v/>
      </c>
      <c r="F8" s="16">
        <f>CEILING(A8/5,1)*'Key Numbers'!B19</f>
        <v/>
      </c>
      <c r="G8" s="17">
        <f>D8-E8-F8</f>
        <v/>
      </c>
      <c r="H8" s="17">
        <f>G8*4.33</f>
        <v/>
      </c>
      <c r="I8" s="17">
        <f>G8*52</f>
        <v/>
      </c>
    </row>
    <row r="9">
      <c r="A9" s="12" t="n">
        <v>100</v>
      </c>
      <c r="B9" s="12" t="n">
        <v>50</v>
      </c>
      <c r="C9" s="4">
        <f>A9*B9</f>
        <v/>
      </c>
      <c r="D9" s="16">
        <f>C9*'Key Numbers'!B11</f>
        <v/>
      </c>
      <c r="E9" s="16">
        <f>CEILING(A9/5,1)*'Key Numbers'!B17</f>
        <v/>
      </c>
      <c r="F9" s="16">
        <f>CEILING(A9/5,1)*'Key Numbers'!B19</f>
        <v/>
      </c>
      <c r="G9" s="17">
        <f>D9-E9-F9</f>
        <v/>
      </c>
      <c r="H9" s="17">
        <f>G9*4.33</f>
        <v/>
      </c>
      <c r="I9" s="17">
        <f>G9*52</f>
        <v/>
      </c>
    </row>
    <row r="10">
      <c r="A10" s="12" t="n">
        <v>150</v>
      </c>
      <c r="B10" s="12" t="n">
        <v>50</v>
      </c>
      <c r="C10" s="4">
        <f>A10*B10</f>
        <v/>
      </c>
      <c r="D10" s="16">
        <f>C10*'Key Numbers'!B11</f>
        <v/>
      </c>
      <c r="E10" s="16">
        <f>CEILING(A10/5,1)*'Key Numbers'!B17</f>
        <v/>
      </c>
      <c r="F10" s="16">
        <f>CEILING(A10/5,1)*'Key Numbers'!B19</f>
        <v/>
      </c>
      <c r="G10" s="17">
        <f>D10-E10-F10</f>
        <v/>
      </c>
      <c r="H10" s="17">
        <f>G10*4.33</f>
        <v/>
      </c>
      <c r="I10" s="17">
        <f>G10*52</f>
        <v/>
      </c>
    </row>
    <row r="11">
      <c r="A11" s="12" t="n">
        <v>200</v>
      </c>
      <c r="B11" s="12" t="n">
        <v>50</v>
      </c>
      <c r="C11" s="4">
        <f>A11*B11</f>
        <v/>
      </c>
      <c r="D11" s="16">
        <f>C11*'Key Numbers'!B11</f>
        <v/>
      </c>
      <c r="E11" s="16">
        <f>CEILING(A11/5,1)*'Key Numbers'!B17</f>
        <v/>
      </c>
      <c r="F11" s="16">
        <f>CEILING(A11/5,1)*'Key Numbers'!B19</f>
        <v/>
      </c>
      <c r="G11" s="17">
        <f>D11-E11-F11</f>
        <v/>
      </c>
      <c r="H11" s="17">
        <f>G11*4.33</f>
        <v/>
      </c>
      <c r="I11" s="17">
        <f>G11*52</f>
        <v/>
      </c>
    </row>
    <row r="12">
      <c r="A12" s="12" t="n">
        <v>300</v>
      </c>
      <c r="B12" s="12" t="n">
        <v>50</v>
      </c>
      <c r="C12" s="4">
        <f>A12*B12</f>
        <v/>
      </c>
      <c r="D12" s="16">
        <f>C12*'Key Numbers'!B11</f>
        <v/>
      </c>
      <c r="E12" s="16">
        <f>CEILING(A12/5,1)*'Key Numbers'!B17</f>
        <v/>
      </c>
      <c r="F12" s="16">
        <f>CEILING(A12/5,1)*'Key Numbers'!B19</f>
        <v/>
      </c>
      <c r="G12" s="17">
        <f>D12-E12-F12</f>
        <v/>
      </c>
      <c r="H12" s="17">
        <f>G12*4.33</f>
        <v/>
      </c>
      <c r="I12" s="17">
        <f>G12*52</f>
        <v/>
      </c>
    </row>
    <row r="13">
      <c r="A13" s="12" t="n">
        <v>500</v>
      </c>
      <c r="B13" s="12" t="n">
        <v>50</v>
      </c>
      <c r="C13" s="4">
        <f>A13*B13</f>
        <v/>
      </c>
      <c r="D13" s="16">
        <f>C13*'Key Numbers'!B11</f>
        <v/>
      </c>
      <c r="E13" s="16">
        <f>CEILING(A13/5,1)*'Key Numbers'!B17</f>
        <v/>
      </c>
      <c r="F13" s="16">
        <f>CEILING(A13/5,1)*'Key Numbers'!B19</f>
        <v/>
      </c>
      <c r="G13" s="17">
        <f>D13-E13-F13</f>
        <v/>
      </c>
      <c r="H13" s="17">
        <f>G13*4.33</f>
        <v/>
      </c>
      <c r="I13" s="17">
        <f>G13*52</f>
        <v/>
      </c>
    </row>
    <row r="15">
      <c r="A15" s="2" t="inlineStr">
        <is>
          <t>AT 100 CONTAINERS/BIN/WEEK (established)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</row>
    <row r="16">
      <c r="A16" s="12" t="n">
        <v>5</v>
      </c>
      <c r="B16" s="12" t="n">
        <v>100</v>
      </c>
      <c r="C16" s="4">
        <f>A16*B16</f>
        <v/>
      </c>
      <c r="D16" s="16">
        <f>C16*'Key Numbers'!B11</f>
        <v/>
      </c>
      <c r="E16" s="16">
        <f>CEILING(A16/5,1)*'Key Numbers'!B17</f>
        <v/>
      </c>
      <c r="F16" s="16">
        <f>CEILING(A16/5,1)*'Key Numbers'!B19</f>
        <v/>
      </c>
      <c r="G16" s="17">
        <f>D16-E16-F16</f>
        <v/>
      </c>
      <c r="H16" s="17">
        <f>G16*4.33</f>
        <v/>
      </c>
      <c r="I16" s="17">
        <f>G16*52</f>
        <v/>
      </c>
    </row>
    <row r="17">
      <c r="A17" s="12" t="n">
        <v>10</v>
      </c>
      <c r="B17" s="12" t="n">
        <v>100</v>
      </c>
      <c r="C17" s="4">
        <f>A17*B17</f>
        <v/>
      </c>
      <c r="D17" s="16">
        <f>C17*'Key Numbers'!B11</f>
        <v/>
      </c>
      <c r="E17" s="16">
        <f>CEILING(A17/5,1)*'Key Numbers'!B17</f>
        <v/>
      </c>
      <c r="F17" s="16">
        <f>CEILING(A17/5,1)*'Key Numbers'!B19</f>
        <v/>
      </c>
      <c r="G17" s="17">
        <f>D17-E17-F17</f>
        <v/>
      </c>
      <c r="H17" s="17">
        <f>G17*4.33</f>
        <v/>
      </c>
      <c r="I17" s="17">
        <f>G17*52</f>
        <v/>
      </c>
    </row>
    <row r="18">
      <c r="A18" s="12" t="n">
        <v>15</v>
      </c>
      <c r="B18" s="12" t="n">
        <v>100</v>
      </c>
      <c r="C18" s="4">
        <f>A18*B18</f>
        <v/>
      </c>
      <c r="D18" s="16">
        <f>C18*'Key Numbers'!B11</f>
        <v/>
      </c>
      <c r="E18" s="16">
        <f>CEILING(A18/5,1)*'Key Numbers'!B17</f>
        <v/>
      </c>
      <c r="F18" s="16">
        <f>CEILING(A18/5,1)*'Key Numbers'!B19</f>
        <v/>
      </c>
      <c r="G18" s="17">
        <f>D18-E18-F18</f>
        <v/>
      </c>
      <c r="H18" s="17">
        <f>G18*4.33</f>
        <v/>
      </c>
      <c r="I18" s="17">
        <f>G18*52</f>
        <v/>
      </c>
    </row>
    <row r="19">
      <c r="A19" s="12" t="n">
        <v>20</v>
      </c>
      <c r="B19" s="12" t="n">
        <v>100</v>
      </c>
      <c r="C19" s="4">
        <f>A19*B19</f>
        <v/>
      </c>
      <c r="D19" s="16">
        <f>C19*'Key Numbers'!B11</f>
        <v/>
      </c>
      <c r="E19" s="16">
        <f>CEILING(A19/5,1)*'Key Numbers'!B17</f>
        <v/>
      </c>
      <c r="F19" s="16">
        <f>CEILING(A19/5,1)*'Key Numbers'!B19</f>
        <v/>
      </c>
      <c r="G19" s="17">
        <f>D19-E19-F19</f>
        <v/>
      </c>
      <c r="H19" s="17">
        <f>G19*4.33</f>
        <v/>
      </c>
      <c r="I19" s="17">
        <f>G19*52</f>
        <v/>
      </c>
    </row>
    <row r="20">
      <c r="A20" s="12" t="n">
        <v>30</v>
      </c>
      <c r="B20" s="12" t="n">
        <v>100</v>
      </c>
      <c r="C20" s="4">
        <f>A20*B20</f>
        <v/>
      </c>
      <c r="D20" s="16">
        <f>C20*'Key Numbers'!B11</f>
        <v/>
      </c>
      <c r="E20" s="16">
        <f>CEILING(A20/5,1)*'Key Numbers'!B17</f>
        <v/>
      </c>
      <c r="F20" s="16">
        <f>CEILING(A20/5,1)*'Key Numbers'!B19</f>
        <v/>
      </c>
      <c r="G20" s="17">
        <f>D20-E20-F20</f>
        <v/>
      </c>
      <c r="H20" s="17">
        <f>G20*4.33</f>
        <v/>
      </c>
      <c r="I20" s="17">
        <f>G20*52</f>
        <v/>
      </c>
    </row>
    <row r="21">
      <c r="A21" s="12" t="n">
        <v>50</v>
      </c>
      <c r="B21" s="12" t="n">
        <v>100</v>
      </c>
      <c r="C21" s="4">
        <f>A21*B21</f>
        <v/>
      </c>
      <c r="D21" s="16">
        <f>C21*'Key Numbers'!B11</f>
        <v/>
      </c>
      <c r="E21" s="16">
        <f>CEILING(A21/5,1)*'Key Numbers'!B17</f>
        <v/>
      </c>
      <c r="F21" s="16">
        <f>CEILING(A21/5,1)*'Key Numbers'!B19</f>
        <v/>
      </c>
      <c r="G21" s="17">
        <f>D21-E21-F21</f>
        <v/>
      </c>
      <c r="H21" s="17">
        <f>G21*4.33</f>
        <v/>
      </c>
      <c r="I21" s="17">
        <f>G21*52</f>
        <v/>
      </c>
    </row>
    <row r="22">
      <c r="A22" s="12" t="n">
        <v>75</v>
      </c>
      <c r="B22" s="12" t="n">
        <v>100</v>
      </c>
      <c r="C22" s="4">
        <f>A22*B22</f>
        <v/>
      </c>
      <c r="D22" s="16">
        <f>C22*'Key Numbers'!B11</f>
        <v/>
      </c>
      <c r="E22" s="16">
        <f>CEILING(A22/5,1)*'Key Numbers'!B17</f>
        <v/>
      </c>
      <c r="F22" s="16">
        <f>CEILING(A22/5,1)*'Key Numbers'!B19</f>
        <v/>
      </c>
      <c r="G22" s="17">
        <f>D22-E22-F22</f>
        <v/>
      </c>
      <c r="H22" s="17">
        <f>G22*4.33</f>
        <v/>
      </c>
      <c r="I22" s="17">
        <f>G22*52</f>
        <v/>
      </c>
    </row>
    <row r="23">
      <c r="A23" s="12" t="n">
        <v>100</v>
      </c>
      <c r="B23" s="12" t="n">
        <v>100</v>
      </c>
      <c r="C23" s="4">
        <f>A23*B23</f>
        <v/>
      </c>
      <c r="D23" s="16">
        <f>C23*'Key Numbers'!B11</f>
        <v/>
      </c>
      <c r="E23" s="16">
        <f>CEILING(A23/5,1)*'Key Numbers'!B17</f>
        <v/>
      </c>
      <c r="F23" s="16">
        <f>CEILING(A23/5,1)*'Key Numbers'!B19</f>
        <v/>
      </c>
      <c r="G23" s="17">
        <f>D23-E23-F23</f>
        <v/>
      </c>
      <c r="H23" s="17">
        <f>G23*4.33</f>
        <v/>
      </c>
      <c r="I23" s="17">
        <f>G23*52</f>
        <v/>
      </c>
    </row>
    <row r="24">
      <c r="A24" s="12" t="n">
        <v>150</v>
      </c>
      <c r="B24" s="12" t="n">
        <v>100</v>
      </c>
      <c r="C24" s="4">
        <f>A24*B24</f>
        <v/>
      </c>
      <c r="D24" s="16">
        <f>C24*'Key Numbers'!B11</f>
        <v/>
      </c>
      <c r="E24" s="16">
        <f>CEILING(A24/5,1)*'Key Numbers'!B17</f>
        <v/>
      </c>
      <c r="F24" s="16">
        <f>CEILING(A24/5,1)*'Key Numbers'!B19</f>
        <v/>
      </c>
      <c r="G24" s="17">
        <f>D24-E24-F24</f>
        <v/>
      </c>
      <c r="H24" s="17">
        <f>G24*4.33</f>
        <v/>
      </c>
      <c r="I24" s="17">
        <f>G24*52</f>
        <v/>
      </c>
    </row>
    <row r="25">
      <c r="A25" s="12" t="n">
        <v>200</v>
      </c>
      <c r="B25" s="12" t="n">
        <v>100</v>
      </c>
      <c r="C25" s="4">
        <f>A25*B25</f>
        <v/>
      </c>
      <c r="D25" s="16">
        <f>C25*'Key Numbers'!B11</f>
        <v/>
      </c>
      <c r="E25" s="16">
        <f>CEILING(A25/5,1)*'Key Numbers'!B17</f>
        <v/>
      </c>
      <c r="F25" s="16">
        <f>CEILING(A25/5,1)*'Key Numbers'!B19</f>
        <v/>
      </c>
      <c r="G25" s="17">
        <f>D25-E25-F25</f>
        <v/>
      </c>
      <c r="H25" s="17">
        <f>G25*4.33</f>
        <v/>
      </c>
      <c r="I25" s="17">
        <f>G25*52</f>
        <v/>
      </c>
    </row>
    <row r="26">
      <c r="A26" s="12" t="n">
        <v>300</v>
      </c>
      <c r="B26" s="12" t="n">
        <v>100</v>
      </c>
      <c r="C26" s="4">
        <f>A26*B26</f>
        <v/>
      </c>
      <c r="D26" s="16">
        <f>C26*'Key Numbers'!B11</f>
        <v/>
      </c>
      <c r="E26" s="16">
        <f>CEILING(A26/5,1)*'Key Numbers'!B17</f>
        <v/>
      </c>
      <c r="F26" s="16">
        <f>CEILING(A26/5,1)*'Key Numbers'!B19</f>
        <v/>
      </c>
      <c r="G26" s="17">
        <f>D26-E26-F26</f>
        <v/>
      </c>
      <c r="H26" s="17">
        <f>G26*4.33</f>
        <v/>
      </c>
      <c r="I26" s="17">
        <f>G26*52</f>
        <v/>
      </c>
    </row>
    <row r="27">
      <c r="A27" s="12" t="n">
        <v>500</v>
      </c>
      <c r="B27" s="12" t="n">
        <v>100</v>
      </c>
      <c r="C27" s="4">
        <f>A27*B27</f>
        <v/>
      </c>
      <c r="D27" s="16">
        <f>C27*'Key Numbers'!B11</f>
        <v/>
      </c>
      <c r="E27" s="16">
        <f>CEILING(A27/5,1)*'Key Numbers'!B17</f>
        <v/>
      </c>
      <c r="F27" s="16">
        <f>CEILING(A27/5,1)*'Key Numbers'!B19</f>
        <v/>
      </c>
      <c r="G27" s="17">
        <f>D27-E27-F27</f>
        <v/>
      </c>
      <c r="H27" s="17">
        <f>G27*4.33</f>
        <v/>
      </c>
      <c r="I27" s="17">
        <f>G27*52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Month</t>
        </is>
      </c>
      <c r="B1" s="1" t="inlineStr">
        <is>
          <t>Bins</t>
        </is>
      </c>
      <c r="C1" s="1" t="inlineStr">
        <is>
          <t>Cans/Bin/Wk</t>
        </is>
      </c>
      <c r="D1" s="1" t="inlineStr">
        <is>
          <t>Total/Mo</t>
        </is>
      </c>
      <c r="E1" s="1" t="inlineStr">
        <is>
          <t>COEX Revenue</t>
        </is>
      </c>
      <c r="F1" s="1" t="inlineStr">
        <is>
          <t>Scrap Revenue</t>
        </is>
      </c>
      <c r="G1" s="1" t="inlineStr">
        <is>
          <t>Sorter Payouts</t>
        </is>
      </c>
      <c r="H1" s="1" t="inlineStr">
        <is>
          <t>Fuel</t>
        </is>
      </c>
      <c r="I1" s="1" t="inlineStr">
        <is>
          <t>Revenue Kept</t>
        </is>
      </c>
      <c r="J1" s="1" t="inlineStr">
        <is>
          <t>NET Profit</t>
        </is>
      </c>
      <c r="K1" s="1" t="inlineStr">
        <is>
          <t>Cumulative</t>
        </is>
      </c>
    </row>
    <row r="2">
      <c r="A2" s="4" t="n">
        <v>1</v>
      </c>
      <c r="B2" s="12" t="n">
        <v>5</v>
      </c>
      <c r="C2" s="12" t="n">
        <v>25</v>
      </c>
      <c r="D2" s="4">
        <f>B2*C2*4.33</f>
        <v/>
      </c>
      <c r="E2" s="16">
        <f>D2*('Key Numbers'!B2+'Key Numbers'!B3)</f>
        <v/>
      </c>
      <c r="F2" s="16">
        <f>D2*'Key Numbers'!B4</f>
        <v/>
      </c>
      <c r="G2" s="18">
        <f>D2*'Key Numbers'!B8</f>
        <v/>
      </c>
      <c r="H2" s="18">
        <f>CEILING(B2/5,1)*4.33*'Key Numbers'!B17</f>
        <v/>
      </c>
      <c r="I2" s="16">
        <f>E2+F2-G2</f>
        <v/>
      </c>
      <c r="J2" s="17">
        <f>I2-H2</f>
        <v/>
      </c>
      <c r="K2" s="17">
        <f>J2-70</f>
        <v/>
      </c>
    </row>
    <row r="3">
      <c r="A3" s="4" t="n">
        <v>2</v>
      </c>
      <c r="B3" s="12" t="n">
        <v>5</v>
      </c>
      <c r="C3" s="12" t="n">
        <v>35</v>
      </c>
      <c r="D3" s="4">
        <f>B3*C3*4.33</f>
        <v/>
      </c>
      <c r="E3" s="16">
        <f>D3*('Key Numbers'!B2+'Key Numbers'!B3)</f>
        <v/>
      </c>
      <c r="F3" s="16">
        <f>D3*'Key Numbers'!B4</f>
        <v/>
      </c>
      <c r="G3" s="18">
        <f>D3*'Key Numbers'!B8</f>
        <v/>
      </c>
      <c r="H3" s="18">
        <f>CEILING(B3/5,1)*4.33*'Key Numbers'!B17</f>
        <v/>
      </c>
      <c r="I3" s="16">
        <f>E3+F3-G3</f>
        <v/>
      </c>
      <c r="J3" s="17">
        <f>I3-H3</f>
        <v/>
      </c>
      <c r="K3" s="17">
        <f>K2+J3</f>
        <v/>
      </c>
    </row>
    <row r="4">
      <c r="A4" s="4" t="n">
        <v>3</v>
      </c>
      <c r="B4" s="12" t="n">
        <v>8</v>
      </c>
      <c r="C4" s="12" t="n">
        <v>45</v>
      </c>
      <c r="D4" s="4">
        <f>B4*C4*4.33</f>
        <v/>
      </c>
      <c r="E4" s="16">
        <f>D4*('Key Numbers'!B2+'Key Numbers'!B3)</f>
        <v/>
      </c>
      <c r="F4" s="16">
        <f>D4*'Key Numbers'!B4</f>
        <v/>
      </c>
      <c r="G4" s="18">
        <f>D4*'Key Numbers'!B8</f>
        <v/>
      </c>
      <c r="H4" s="18">
        <f>CEILING(B4/5,1)*4.33*'Key Numbers'!B17</f>
        <v/>
      </c>
      <c r="I4" s="16">
        <f>E4+F4-G4</f>
        <v/>
      </c>
      <c r="J4" s="17">
        <f>I4-H4</f>
        <v/>
      </c>
      <c r="K4" s="17">
        <f>K3+J4</f>
        <v/>
      </c>
    </row>
    <row r="5">
      <c r="A5" s="4" t="n">
        <v>4</v>
      </c>
      <c r="B5" s="12" t="n">
        <v>10</v>
      </c>
      <c r="C5" s="12" t="n">
        <v>55</v>
      </c>
      <c r="D5" s="4">
        <f>B5*C5*4.33</f>
        <v/>
      </c>
      <c r="E5" s="16">
        <f>D5*('Key Numbers'!B2+'Key Numbers'!B3)</f>
        <v/>
      </c>
      <c r="F5" s="16">
        <f>D5*'Key Numbers'!B4</f>
        <v/>
      </c>
      <c r="G5" s="18">
        <f>D5*'Key Numbers'!B8</f>
        <v/>
      </c>
      <c r="H5" s="18">
        <f>CEILING(B5/5,1)*4.33*'Key Numbers'!B17</f>
        <v/>
      </c>
      <c r="I5" s="16">
        <f>E5+F5-G5</f>
        <v/>
      </c>
      <c r="J5" s="17">
        <f>I5-H5</f>
        <v/>
      </c>
      <c r="K5" s="17">
        <f>K4+J5</f>
        <v/>
      </c>
    </row>
    <row r="6">
      <c r="A6" s="4" t="n">
        <v>5</v>
      </c>
      <c r="B6" s="12" t="n">
        <v>12</v>
      </c>
      <c r="C6" s="12" t="n">
        <v>65</v>
      </c>
      <c r="D6" s="4">
        <f>B6*C6*4.33</f>
        <v/>
      </c>
      <c r="E6" s="16">
        <f>D6*('Key Numbers'!B2+'Key Numbers'!B3)</f>
        <v/>
      </c>
      <c r="F6" s="16">
        <f>D6*'Key Numbers'!B4</f>
        <v/>
      </c>
      <c r="G6" s="18">
        <f>D6*'Key Numbers'!B8</f>
        <v/>
      </c>
      <c r="H6" s="18">
        <f>CEILING(B6/5,1)*4.33*'Key Numbers'!B17</f>
        <v/>
      </c>
      <c r="I6" s="16">
        <f>E6+F6-G6</f>
        <v/>
      </c>
      <c r="J6" s="17">
        <f>I6-H6</f>
        <v/>
      </c>
      <c r="K6" s="17">
        <f>K5+J6</f>
        <v/>
      </c>
    </row>
    <row r="7">
      <c r="A7" s="4" t="n">
        <v>6</v>
      </c>
      <c r="B7" s="12" t="n">
        <v>15</v>
      </c>
      <c r="C7" s="12" t="n">
        <v>75</v>
      </c>
      <c r="D7" s="4">
        <f>B7*C7*4.33</f>
        <v/>
      </c>
      <c r="E7" s="16">
        <f>D7*('Key Numbers'!B2+'Key Numbers'!B3)</f>
        <v/>
      </c>
      <c r="F7" s="16">
        <f>D7*'Key Numbers'!B4</f>
        <v/>
      </c>
      <c r="G7" s="18">
        <f>D7*'Key Numbers'!B8</f>
        <v/>
      </c>
      <c r="H7" s="18">
        <f>CEILING(B7/5,1)*4.33*'Key Numbers'!B17</f>
        <v/>
      </c>
      <c r="I7" s="16">
        <f>E7+F7-G7</f>
        <v/>
      </c>
      <c r="J7" s="17">
        <f>I7-H7</f>
        <v/>
      </c>
      <c r="K7" s="17">
        <f>K6+J7</f>
        <v/>
      </c>
    </row>
    <row r="8">
      <c r="A8" s="2" t="inlineStr">
        <is>
          <t>TOTAL</t>
        </is>
      </c>
      <c r="B8" s="19" t="n"/>
      <c r="C8" s="19" t="n"/>
      <c r="D8" s="20">
        <f>SUM(D2:D7)</f>
        <v/>
      </c>
      <c r="E8" s="20">
        <f>SUM(E2:E7)</f>
        <v/>
      </c>
      <c r="F8" s="20">
        <f>SUM(F2:F7)</f>
        <v/>
      </c>
      <c r="G8" s="20">
        <f>SUM(G2:G7)</f>
        <v/>
      </c>
      <c r="H8" s="20">
        <f>SUM(H2:H7)</f>
        <v/>
      </c>
      <c r="I8" s="20">
        <f>SUM(I2:I7)</f>
        <v/>
      </c>
      <c r="J8" s="20">
        <f>SUM(J2:J7)</f>
        <v/>
      </c>
      <c r="K8" s="1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45" customWidth="1" min="3" max="3"/>
  </cols>
  <sheetData>
    <row r="1">
      <c r="A1" s="1" t="inlineStr">
        <is>
          <t>Question</t>
        </is>
      </c>
      <c r="B1" s="1" t="inlineStr">
        <is>
          <t>Answer</t>
        </is>
      </c>
      <c r="C1" s="1" t="inlineStr">
        <is>
          <t>How</t>
        </is>
      </c>
    </row>
    <row r="2">
      <c r="A2" s="2" t="inlineStr">
        <is>
          <t>HOW MANY BINS TO START?</t>
        </is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</row>
    <row r="3">
      <c r="A3" s="4" t="inlineStr">
        <is>
          <t>Start with</t>
        </is>
      </c>
      <c r="B3" s="12" t="n">
        <v>5</v>
      </c>
      <c r="C3" s="4" t="inlineStr">
        <is>
          <t>Moorooka — your street + 4 neighbours</t>
        </is>
      </c>
    </row>
    <row r="4">
      <c r="A4" s="4" t="inlineStr">
        <is>
          <t>Cost to start</t>
        </is>
      </c>
      <c r="B4" s="12" t="n">
        <v>70</v>
      </c>
      <c r="C4" s="4" t="inlineStr">
        <is>
          <t>$10/bin + bags + QR stickers</t>
        </is>
      </c>
    </row>
    <row r="5">
      <c r="A5" s="4" t="inlineStr">
        <is>
          <t>Wait until total across 5 bins hits</t>
        </is>
      </c>
      <c r="B5" s="21">
        <f>CEILING('Key Numbers'!B17/'Key Numbers'!B11,1)</f>
        <v/>
      </c>
      <c r="C5" s="4" t="inlineStr">
        <is>
          <t>Then do first collection run</t>
        </is>
      </c>
    </row>
    <row r="6">
      <c r="A6" s="4" t="inlineStr">
        <is>
          <t>Thats only</t>
        </is>
      </c>
      <c r="B6" s="22">
        <f>B4</f>
        <v/>
      </c>
      <c r="C6" s="4" t="inlineStr">
        <is>
          <t>containers to cover fuel</t>
        </is>
      </c>
    </row>
    <row r="8">
      <c r="A8" s="2" t="inlineStr">
        <is>
          <t>WHEN DOES IT MAKE REAL MONEY?</t>
        </is>
      </c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</row>
    <row r="9">
      <c r="A9" s="4" t="inlineStr">
        <is>
          <t>At 5 bins × 50/wk you make</t>
        </is>
      </c>
      <c r="B9" s="22">
        <f>5*50*'Key Numbers'!B11*52</f>
        <v/>
      </c>
      <c r="C9" s="4" t="inlineStr">
        <is>
          <t>/year (just from 5 bins!)</t>
        </is>
      </c>
    </row>
    <row r="10">
      <c r="A10" s="4" t="inlineStr">
        <is>
          <t>At 15 bins × 75/wk you make</t>
        </is>
      </c>
      <c r="B10" s="22">
        <f>15*75*'Key Numbers'!B11*52</f>
        <v/>
      </c>
      <c r="C10" s="4" t="inlineStr">
        <is>
          <t>/year</t>
        </is>
      </c>
    </row>
    <row r="11">
      <c r="A11" s="4" t="inlineStr">
        <is>
          <t>At 50 bins × 100/wk you make</t>
        </is>
      </c>
      <c r="B11" s="22">
        <f>50*100*'Key Numbers'!B11*52</f>
        <v/>
      </c>
      <c r="C11" s="4" t="inlineStr">
        <is>
          <t>/year</t>
        </is>
      </c>
    </row>
    <row r="12">
      <c r="A12" s="4" t="inlineStr">
        <is>
          <t>At 100 bins × 100/wk you make</t>
        </is>
      </c>
      <c r="B12" s="22">
        <f>100*100*'Key Numbers'!B11*52</f>
        <v/>
      </c>
      <c r="C12" s="4" t="inlineStr">
        <is>
          <t>/year</t>
        </is>
      </c>
    </row>
    <row r="14">
      <c r="A14" s="2" t="inlineStr">
        <is>
          <t>THE MAGIC NUMBER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</row>
    <row r="15">
      <c r="A15" s="4" t="inlineStr">
        <is>
          <t>You keep per container</t>
        </is>
      </c>
      <c r="B15" s="21">
        <f>'Key Numbers'!B11</f>
        <v/>
      </c>
      <c r="C15" s="4" t="inlineStr">
        <is>
          <t>After sorter payout</t>
        </is>
      </c>
    </row>
    <row r="16">
      <c r="A16" s="4" t="inlineStr">
        <is>
          <t>To make $1000/week you need</t>
        </is>
      </c>
      <c r="B16" s="22">
        <f>CEILING(1000/B14,1)</f>
        <v/>
      </c>
      <c r="C16" s="4" t="inlineStr">
        <is>
          <t>containers/week</t>
        </is>
      </c>
    </row>
    <row r="17">
      <c r="A17" s="4" t="inlineStr">
        <is>
          <t>Thats how many bins @ 50/wk</t>
        </is>
      </c>
      <c r="B17" s="22">
        <f>CEILING(B15/50,1)</f>
        <v/>
      </c>
      <c r="C17" s="4" t="inlineStr">
        <is>
          <t>bins needed</t>
        </is>
      </c>
    </row>
    <row r="18">
      <c r="A18" s="4" t="inlineStr">
        <is>
          <t>Thats how many bins @ 100/wk</t>
        </is>
      </c>
      <c r="B18" s="22">
        <f>CEILING(B15/100,1)</f>
        <v/>
      </c>
      <c r="C18" s="4" t="inlineStr">
        <is>
          <t>bins needed</t>
        </is>
      </c>
    </row>
    <row r="20">
      <c r="A20" s="2" t="inlineStr">
        <is>
          <t>TO MAKE $100K/YEAR</t>
        </is>
      </c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</row>
    <row r="21">
      <c r="A21" s="4" t="inlineStr">
        <is>
          <t>Containers per week needed</t>
        </is>
      </c>
      <c r="B21" s="22">
        <f>CEILING(100000/52/'Key Numbers'!B11,1)</f>
        <v/>
      </c>
      <c r="C21" s="4" t="inlineStr"/>
    </row>
    <row r="22">
      <c r="A22" s="4" t="inlineStr">
        <is>
          <t>Bins needed @ 50/wk</t>
        </is>
      </c>
      <c r="B22" s="22">
        <f>CEILING(B20/50,1)</f>
        <v/>
      </c>
      <c r="C22" s="4" t="inlineStr"/>
    </row>
    <row r="23">
      <c r="A23" s="4" t="inlineStr">
        <is>
          <t>Bins needed @ 100/wk</t>
        </is>
      </c>
      <c r="B23" s="22">
        <f>CEILING(B20/100,1)</f>
        <v/>
      </c>
      <c r="C23" s="4" t="inlineStr"/>
    </row>
    <row r="24">
      <c r="A24" s="4" t="inlineStr">
        <is>
          <t>Bins needed @ 150/wk</t>
        </is>
      </c>
      <c r="B24" s="22">
        <f>CEILING(B20/150,1)</f>
        <v/>
      </c>
      <c r="C24" s="4" t="inlineStr"/>
    </row>
    <row r="26">
      <c r="A26" s="2" t="inlineStr">
        <is>
          <t>BOTTOM LINE</t>
        </is>
      </c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</row>
    <row r="27">
      <c r="A27" s="4" t="inlineStr">
        <is>
          <t>14c margin × volume = profit</t>
        </is>
      </c>
      <c r="B27" s="23" t="inlineStr"/>
      <c r="C27" s="4" t="inlineStr">
        <is>
          <t>No body corp fee needed</t>
        </is>
      </c>
    </row>
    <row r="28">
      <c r="A28" s="4" t="inlineStr">
        <is>
          <t>5 bins pays for your time</t>
        </is>
      </c>
      <c r="B28" s="23" t="inlineStr"/>
      <c r="C28" s="4" t="inlineStr">
        <is>
          <t>From week 1</t>
        </is>
      </c>
    </row>
    <row r="29">
      <c r="A29" s="4" t="inlineStr">
        <is>
          <t>50 bins replaces a salary</t>
        </is>
      </c>
      <c r="B29" s="23" t="inlineStr"/>
      <c r="C29" s="4" t="inlineStr">
        <is>
          <t>$50-70k/year territory</t>
        </is>
      </c>
    </row>
    <row r="30">
      <c r="A30" s="4" t="inlineStr">
        <is>
          <t>100+ bins = real business</t>
        </is>
      </c>
      <c r="B30" s="23" t="inlineStr"/>
      <c r="C30" s="4" t="inlineStr">
        <is>
          <t>$100k+ with minimal overhead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2026-04-08T01:14:17Z</dcterms:created>
  <dcterms:modified xmlns:dcterms="http://purl.org/dc/terms/" xmlns:xsi="http://www.w3.org/2001/XMLSchema-instance" xsi:type="dcterms:W3CDTF">2026-04-08T01:14:17Z</dcterms:modified>
</cp:coreProperties>
</file>